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ão ZG-CAP-02" sheetId="1" state="visible" r:id="rId1"/>
    <sheet name="Quantita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color rgb="001B1F26"/>
      <sz val="14"/>
    </font>
    <font>
      <i val="1"/>
      <color rgb="006B7078"/>
      <sz val="10"/>
    </font>
    <font>
      <color rgb="00A0522D"/>
      <sz val="10"/>
    </font>
    <font>
      <b val="1"/>
      <color rgb="00FFFFFF"/>
      <sz val="9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B1F26"/>
      </patternFill>
    </fill>
    <fill>
      <patternFill patternType="solid">
        <fgColor rgb="00FFF6DC"/>
      </patternFill>
    </fill>
    <fill>
      <patternFill patternType="solid">
        <fgColor rgb="00F3EBD0"/>
      </patternFill>
    </fill>
    <fill>
      <patternFill patternType="solid">
        <fgColor rgb="00E8DCB8"/>
      </patternFill>
    </fill>
  </fills>
  <borders count="2">
    <border>
      <left/>
      <right/>
      <top/>
      <bottom/>
      <diagonal/>
    </border>
    <border>
      <left style="thin">
        <color rgb="00D6D3CC"/>
      </left>
      <right style="thin">
        <color rgb="00D6D3CC"/>
      </right>
      <top style="thin">
        <color rgb="00D6D3CC"/>
      </top>
      <bottom style="thin">
        <color rgb="00D6D3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5" fillId="0" borderId="0" pivotButton="0" quotePrefix="0" xfId="0"/>
    <xf numFmtId="164" fontId="6" fillId="4" borderId="0" pivotButton="0" quotePrefix="0" xfId="0"/>
    <xf numFmtId="164" fontId="6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7" customWidth="1" min="4" max="4"/>
    <col width="10" customWidth="1" min="5" max="5"/>
    <col width="12" customWidth="1" min="6" max="6"/>
    <col width="13" customWidth="1" min="7" max="7"/>
    <col width="12" customWidth="1" min="8" max="8"/>
    <col width="17" customWidth="1" min="9" max="9"/>
    <col width="15" customWidth="1" min="10" max="10"/>
    <col width="22" customWidth="1" min="11" max="11"/>
    <col width="12" customWidth="1" min="12" max="12"/>
  </cols>
  <sheetData>
    <row r="1">
      <c r="A1" s="1" t="inlineStr">
        <is>
          <t>ZION GLAMPING · CAPOTA CHAPÉU RETRÁTIL ZG-CAP-02</t>
        </is>
      </c>
    </row>
    <row r="2">
      <c r="A2" s="2" t="inlineStr">
        <is>
          <t>Planilha de cotação · Bubble Ø 5000 mm no deck, altura 2292 mm · emitida em 15/08/2026</t>
        </is>
      </c>
    </row>
    <row r="3">
      <c r="A3" s="3" t="inlineStr">
        <is>
          <t>Preencha apenas a coluna SUA COTAÇÃO. As faixas são referência de ordem de grandeza para triagem e NÃO substituem orçamento do fornecedor.</t>
        </is>
      </c>
    </row>
    <row r="5">
      <c r="A5" s="4" t="inlineStr">
        <is>
          <t>Grupo</t>
        </is>
      </c>
      <c r="B5" s="4" t="inlineStr">
        <is>
          <t>Item</t>
        </is>
      </c>
      <c r="C5" s="4" t="inlineStr">
        <is>
          <t>Descrição</t>
        </is>
      </c>
      <c r="D5" s="4" t="inlineStr">
        <is>
          <t>Un.</t>
        </is>
      </c>
      <c r="E5" s="4" t="inlineStr">
        <is>
          <t>Qtd.</t>
        </is>
      </c>
      <c r="F5" s="4" t="inlineStr">
        <is>
          <t>R$ mín</t>
        </is>
      </c>
      <c r="G5" s="4" t="inlineStr">
        <is>
          <t>R$ provável</t>
        </is>
      </c>
      <c r="H5" s="4" t="inlineStr">
        <is>
          <t>R$ máx</t>
        </is>
      </c>
      <c r="I5" s="4" t="inlineStr">
        <is>
          <t>SUA COTAÇÃO R$/un</t>
        </is>
      </c>
      <c r="J5" s="4" t="inlineStr">
        <is>
          <t>TOTAL R$</t>
        </is>
      </c>
      <c r="K5" s="4" t="inlineStr">
        <is>
          <t>Fornecedor</t>
        </is>
      </c>
      <c r="L5" s="4" t="inlineStr">
        <is>
          <t>Prazo</t>
        </is>
      </c>
    </row>
    <row r="6">
      <c r="A6" s="5" t="inlineStr">
        <is>
          <t>A. Estrutura de alumínio</t>
        </is>
      </c>
      <c r="B6" s="5" t="inlineStr">
        <is>
          <t>Tubo Ø50 × 2,5 · arcos</t>
        </is>
      </c>
      <c r="C6" s="5" t="inlineStr">
        <is>
          <t>6063-T6, barra de 6 m</t>
        </is>
      </c>
      <c r="D6" s="5" t="inlineStr">
        <is>
          <t>kg</t>
        </is>
      </c>
      <c r="E6" s="6" t="n">
        <v>42.31</v>
      </c>
      <c r="F6" s="7" t="n">
        <v>58</v>
      </c>
      <c r="G6" s="7" t="n">
        <v>72</v>
      </c>
      <c r="H6" s="7" t="n">
        <v>95</v>
      </c>
      <c r="I6" s="8" t="n"/>
      <c r="J6" s="7">
        <f>IF(I6="",E6*G6,E6*I6)</f>
        <v/>
      </c>
      <c r="K6" s="5" t="n"/>
      <c r="L6" s="5" t="n"/>
    </row>
    <row r="7">
      <c r="A7" s="5" t="inlineStr">
        <is>
          <t>A. Estrutura de alumínio</t>
        </is>
      </c>
      <c r="B7" s="5" t="inlineStr">
        <is>
          <t>Tubo Ø32 × 2,0 · longarinas</t>
        </is>
      </c>
      <c r="C7" s="5" t="inlineStr">
        <is>
          <t>6063-T6, barra de 6 m</t>
        </is>
      </c>
      <c r="D7" s="5" t="inlineStr">
        <is>
          <t>kg</t>
        </is>
      </c>
      <c r="E7" s="6" t="n">
        <v>6.11</v>
      </c>
      <c r="F7" s="7" t="n">
        <v>58</v>
      </c>
      <c r="G7" s="7" t="n">
        <v>72</v>
      </c>
      <c r="H7" s="7" t="n">
        <v>95</v>
      </c>
      <c r="I7" s="8" t="n"/>
      <c r="J7" s="7">
        <f>IF(I7="",E7*G7,E7*I7)</f>
        <v/>
      </c>
      <c r="K7" s="5" t="n"/>
      <c r="L7" s="5" t="n"/>
    </row>
    <row r="8">
      <c r="A8" s="5" t="inlineStr">
        <is>
          <t>A. Estrutura de alumínio</t>
        </is>
      </c>
      <c r="B8" s="5" t="inlineStr">
        <is>
          <t>Perfil canaleta keder</t>
        </is>
      </c>
      <c r="C8" s="5" t="inlineStr">
        <is>
          <t>alumínio, ranhura Ø 6</t>
        </is>
      </c>
      <c r="D8" s="5" t="inlineStr">
        <is>
          <t>m</t>
        </is>
      </c>
      <c r="E8" s="6" t="n">
        <v>14.83</v>
      </c>
      <c r="F8" s="7" t="n">
        <v>38</v>
      </c>
      <c r="G8" s="7" t="n">
        <v>58</v>
      </c>
      <c r="H8" s="7" t="n">
        <v>85</v>
      </c>
      <c r="I8" s="8" t="n"/>
      <c r="J8" s="7">
        <f>IF(I8="",E8*G8,E8*I8)</f>
        <v/>
      </c>
      <c r="K8" s="5" t="n"/>
      <c r="L8" s="5" t="n"/>
    </row>
    <row r="9">
      <c r="A9" s="5" t="inlineStr">
        <is>
          <t>A. Estrutura de alumínio</t>
        </is>
      </c>
      <c r="B9" s="5" t="inlineStr">
        <is>
          <t>Luva de emenda interna</t>
        </is>
      </c>
      <c r="C9" s="5" t="inlineStr">
        <is>
          <t>alumínio maciço Ø 44</t>
        </is>
      </c>
      <c r="D9" s="5" t="inlineStr">
        <is>
          <t>un</t>
        </is>
      </c>
      <c r="E9" s="6" t="n">
        <v>5</v>
      </c>
      <c r="F9" s="7" t="n">
        <v>25</v>
      </c>
      <c r="G9" s="7" t="n">
        <v>45</v>
      </c>
      <c r="H9" s="7" t="n">
        <v>80</v>
      </c>
      <c r="I9" s="8" t="n"/>
      <c r="J9" s="7">
        <f>IF(I9="",E9*G9,E9*I9)</f>
        <v/>
      </c>
      <c r="K9" s="5" t="n"/>
      <c r="L9" s="5" t="n"/>
    </row>
    <row r="10">
      <c r="A10" s="5" t="inlineStr">
        <is>
          <t>B. Eixo, cubos e mancais</t>
        </is>
      </c>
      <c r="B10" s="5" t="inlineStr">
        <is>
          <t>Chapa inox 304 8 mm · cubo-aranha</t>
        </is>
      </c>
      <c r="C10" s="5" t="inlineStr">
        <is>
          <t>Ø 700, 5 braços</t>
        </is>
      </c>
      <c r="D10" s="5" t="inlineStr">
        <is>
          <t>kg</t>
        </is>
      </c>
      <c r="E10" s="6" t="n">
        <v>15</v>
      </c>
      <c r="F10" s="7" t="n">
        <v>62</v>
      </c>
      <c r="G10" s="7" t="n">
        <v>82</v>
      </c>
      <c r="H10" s="7" t="n">
        <v>110</v>
      </c>
      <c r="I10" s="8" t="n"/>
      <c r="J10" s="7">
        <f>IF(I10="",E10*G10,E10*I10)</f>
        <v/>
      </c>
      <c r="K10" s="5" t="n"/>
      <c r="L10" s="5" t="n"/>
    </row>
    <row r="11">
      <c r="A11" s="5" t="inlineStr">
        <is>
          <t>B. Eixo, cubos e mancais</t>
        </is>
      </c>
      <c r="B11" s="5" t="inlineStr">
        <is>
          <t>Barra inox 304 Ø30 h9 · eixo</t>
        </is>
      </c>
      <c r="C11" s="5" t="inlineStr">
        <is>
          <t>com rasgo de chaveta</t>
        </is>
      </c>
      <c r="D11" s="5" t="inlineStr">
        <is>
          <t>kg</t>
        </is>
      </c>
      <c r="E11" s="6" t="n">
        <v>4.36</v>
      </c>
      <c r="F11" s="7" t="n">
        <v>58</v>
      </c>
      <c r="G11" s="7" t="n">
        <v>78</v>
      </c>
      <c r="H11" s="7" t="n">
        <v>105</v>
      </c>
      <c r="I11" s="8" t="n"/>
      <c r="J11" s="7">
        <f>IF(I11="",E11*G11,E11*I11)</f>
        <v/>
      </c>
      <c r="K11" s="5" t="n"/>
      <c r="L11" s="5" t="n"/>
    </row>
    <row r="12">
      <c r="A12" s="5" t="inlineStr">
        <is>
          <t>B. Eixo, cubos e mancais</t>
        </is>
      </c>
      <c r="B12" s="5" t="inlineStr">
        <is>
          <t>Mancal de pé UCP206 inox</t>
        </is>
      </c>
      <c r="C12" s="5" t="inlineStr">
        <is>
          <t>Ø 30, autocompensador</t>
        </is>
      </c>
      <c r="D12" s="5" t="inlineStr">
        <is>
          <t>un</t>
        </is>
      </c>
      <c r="E12" s="6" t="n">
        <v>2</v>
      </c>
      <c r="F12" s="7" t="n">
        <v>190</v>
      </c>
      <c r="G12" s="7" t="n">
        <v>340</v>
      </c>
      <c r="H12" s="7" t="n">
        <v>620</v>
      </c>
      <c r="I12" s="8" t="n"/>
      <c r="J12" s="7">
        <f>IF(I12="",E12*G12,E12*I12)</f>
        <v/>
      </c>
      <c r="K12" s="5" t="n"/>
      <c r="L12" s="5" t="n"/>
    </row>
    <row r="13">
      <c r="A13" s="5" t="inlineStr">
        <is>
          <t>B. Eixo, cubos e mancais</t>
        </is>
      </c>
      <c r="B13" s="5" t="inlineStr">
        <is>
          <t>Parafusaria inox A4</t>
        </is>
      </c>
      <c r="C13" s="5" t="inlineStr">
        <is>
          <t>M6/M8/M10 + isolantes</t>
        </is>
      </c>
      <c r="D13" s="5" t="inlineStr">
        <is>
          <t>kit</t>
        </is>
      </c>
      <c r="E13" s="6" t="n">
        <v>1</v>
      </c>
      <c r="F13" s="7" t="n">
        <v>260</v>
      </c>
      <c r="G13" s="7" t="n">
        <v>480</v>
      </c>
      <c r="H13" s="7" t="n">
        <v>850</v>
      </c>
      <c r="I13" s="8" t="n"/>
      <c r="J13" s="7">
        <f>IF(I13="",E13*G13,E13*I13)</f>
        <v/>
      </c>
      <c r="K13" s="5" t="n"/>
      <c r="L13" s="5" t="n"/>
    </row>
    <row r="14">
      <c r="A14" s="5" t="inlineStr">
        <is>
          <t>C. Pedestais e fundação</t>
        </is>
      </c>
      <c r="B14" s="5" t="inlineStr">
        <is>
          <t>Tubo aço galv. 120×120×4,75</t>
        </is>
      </c>
      <c r="C14" s="5" t="inlineStr">
        <is>
          <t>berço do mancal</t>
        </is>
      </c>
      <c r="D14" s="5" t="inlineStr">
        <is>
          <t>kg</t>
        </is>
      </c>
      <c r="E14" s="6" t="n">
        <v>10.31</v>
      </c>
      <c r="F14" s="7" t="n">
        <v>14</v>
      </c>
      <c r="G14" s="7" t="n">
        <v>18</v>
      </c>
      <c r="H14" s="7" t="n">
        <v>25</v>
      </c>
      <c r="I14" s="8" t="n"/>
      <c r="J14" s="7">
        <f>IF(I14="",E14*G14,E14*I14)</f>
        <v/>
      </c>
      <c r="K14" s="5" t="n"/>
      <c r="L14" s="5" t="n"/>
    </row>
    <row r="15">
      <c r="A15" s="5" t="inlineStr">
        <is>
          <t>C. Pedestais e fundação</t>
        </is>
      </c>
      <c r="B15" s="5" t="inlineStr">
        <is>
          <t>Chapa aço galv. 300×300×12</t>
        </is>
      </c>
      <c r="C15" s="5" t="inlineStr">
        <is>
          <t>placa de base</t>
        </is>
      </c>
      <c r="D15" s="5" t="inlineStr">
        <is>
          <t>kg</t>
        </is>
      </c>
      <c r="E15" s="6" t="n">
        <v>16.96</v>
      </c>
      <c r="F15" s="7" t="n">
        <v>13</v>
      </c>
      <c r="G15" s="7" t="n">
        <v>17</v>
      </c>
      <c r="H15" s="7" t="n">
        <v>23</v>
      </c>
      <c r="I15" s="8" t="n"/>
      <c r="J15" s="7">
        <f>IF(I15="",E15*G15,E15*I15)</f>
        <v/>
      </c>
      <c r="K15" s="5" t="n"/>
      <c r="L15" s="5" t="n"/>
    </row>
    <row r="16">
      <c r="A16" s="5" t="inlineStr">
        <is>
          <t>C. Pedestais e fundação</t>
        </is>
      </c>
      <c r="B16" s="5" t="inlineStr">
        <is>
          <t>Chumbador químico M12×160</t>
        </is>
      </c>
      <c r="C16" s="5" t="inlineStr">
        <is>
          <t>inox A4</t>
        </is>
      </c>
      <c r="D16" s="5" t="inlineStr">
        <is>
          <t>un</t>
        </is>
      </c>
      <c r="E16" s="6" t="n">
        <v>8</v>
      </c>
      <c r="F16" s="7" t="n">
        <v>28</v>
      </c>
      <c r="G16" s="7" t="n">
        <v>45</v>
      </c>
      <c r="H16" s="7" t="n">
        <v>75</v>
      </c>
      <c r="I16" s="8" t="n"/>
      <c r="J16" s="7">
        <f>IF(I16="",E16*G16,E16*I16)</f>
        <v/>
      </c>
      <c r="K16" s="5" t="n"/>
      <c r="L16" s="5" t="n"/>
    </row>
    <row r="17">
      <c r="A17" s="5" t="inlineStr">
        <is>
          <t>C. Pedestais e fundação</t>
        </is>
      </c>
      <c r="B17" s="5" t="inlineStr">
        <is>
          <t>Concreto do bloco 600×600×700</t>
        </is>
      </c>
      <c r="C17" s="5" t="inlineStr">
        <is>
          <t>2 blocos, usinado</t>
        </is>
      </c>
      <c r="D17" s="5" t="inlineStr">
        <is>
          <t>m³</t>
        </is>
      </c>
      <c r="E17" s="6" t="n">
        <v>0.51</v>
      </c>
      <c r="F17" s="7" t="n">
        <v>550</v>
      </c>
      <c r="G17" s="7" t="n">
        <v>700</v>
      </c>
      <c r="H17" s="7" t="n">
        <v>900</v>
      </c>
      <c r="I17" s="8" t="n"/>
      <c r="J17" s="7">
        <f>IF(I17="",E17*G17,E17*I17)</f>
        <v/>
      </c>
      <c r="K17" s="5" t="n"/>
      <c r="L17" s="5" t="n"/>
    </row>
    <row r="18">
      <c r="A18" s="5" t="inlineStr">
        <is>
          <t>D. Acionamento</t>
        </is>
      </c>
      <c r="B18" s="5" t="inlineStr">
        <is>
          <t>Atuador linear 24 V</t>
        </is>
      </c>
      <c r="C18" s="5" t="inlineStr">
        <is>
          <t>1.500 N, curso 350, IP66</t>
        </is>
      </c>
      <c r="D18" s="5" t="inlineStr">
        <is>
          <t>un</t>
        </is>
      </c>
      <c r="E18" s="6" t="n">
        <v>2</v>
      </c>
      <c r="F18" s="7" t="n">
        <v>750</v>
      </c>
      <c r="G18" s="7" t="n">
        <v>1400</v>
      </c>
      <c r="H18" s="7" t="n">
        <v>2600</v>
      </c>
      <c r="I18" s="8" t="n"/>
      <c r="J18" s="7">
        <f>IF(I18="",E18*G18,E18*I18)</f>
        <v/>
      </c>
      <c r="K18" s="5" t="n"/>
      <c r="L18" s="5" t="n"/>
    </row>
    <row r="19">
      <c r="A19" s="5" t="inlineStr">
        <is>
          <t>D. Acionamento</t>
        </is>
      </c>
      <c r="B19" s="5" t="inlineStr">
        <is>
          <t>Mola a gás inox</t>
        </is>
      </c>
      <c r="C19" s="5" t="inlineStr">
        <is>
          <t>550 N, compensação de peso</t>
        </is>
      </c>
      <c r="D19" s="5" t="inlineStr">
        <is>
          <t>un</t>
        </is>
      </c>
      <c r="E19" s="6" t="n">
        <v>2</v>
      </c>
      <c r="F19" s="7" t="n">
        <v>180</v>
      </c>
      <c r="G19" s="7" t="n">
        <v>320</v>
      </c>
      <c r="H19" s="7" t="n">
        <v>550</v>
      </c>
      <c r="I19" s="8" t="n"/>
      <c r="J19" s="7">
        <f>IF(I19="",E19*G19,E19*I19)</f>
        <v/>
      </c>
      <c r="K19" s="5" t="n"/>
      <c r="L19" s="5" t="n"/>
    </row>
    <row r="20">
      <c r="A20" s="5" t="inlineStr">
        <is>
          <t>D. Acionamento</t>
        </is>
      </c>
      <c r="B20" s="5" t="inlineStr">
        <is>
          <t>Central + controle remoto</t>
        </is>
      </c>
      <c r="C20" s="5" t="inlineStr">
        <is>
          <t>24 V, 2 canais, fim de curso</t>
        </is>
      </c>
      <c r="D20" s="5" t="inlineStr">
        <is>
          <t>un</t>
        </is>
      </c>
      <c r="E20" s="6" t="n">
        <v>1</v>
      </c>
      <c r="F20" s="7" t="n">
        <v>380</v>
      </c>
      <c r="G20" s="7" t="n">
        <v>750</v>
      </c>
      <c r="H20" s="7" t="n">
        <v>1400</v>
      </c>
      <c r="I20" s="8" t="n"/>
      <c r="J20" s="7">
        <f>IF(I20="",E20*G20,E20*I20)</f>
        <v/>
      </c>
      <c r="K20" s="5" t="n"/>
      <c r="L20" s="5" t="n"/>
    </row>
    <row r="21">
      <c r="A21" s="5" t="inlineStr">
        <is>
          <t>D. Acionamento</t>
        </is>
      </c>
      <c r="B21" s="5" t="inlineStr">
        <is>
          <t>Anemômetro</t>
        </is>
      </c>
      <c r="C21" s="5" t="inlineStr">
        <is>
          <t>recolhimento automático 45 km/h</t>
        </is>
      </c>
      <c r="D21" s="5" t="inlineStr">
        <is>
          <t>un</t>
        </is>
      </c>
      <c r="E21" s="6" t="n">
        <v>1</v>
      </c>
      <c r="F21" s="7" t="n">
        <v>550</v>
      </c>
      <c r="G21" s="7" t="n">
        <v>1100</v>
      </c>
      <c r="H21" s="7" t="n">
        <v>2200</v>
      </c>
      <c r="I21" s="8" t="n"/>
      <c r="J21" s="7">
        <f>IF(I21="",E21*G21,E21*I21)</f>
        <v/>
      </c>
      <c r="K21" s="5" t="n"/>
      <c r="L21" s="5" t="n"/>
    </row>
    <row r="22">
      <c r="A22" s="5" t="inlineStr">
        <is>
          <t>D. Acionamento</t>
        </is>
      </c>
      <c r="B22" s="5" t="inlineStr">
        <is>
          <t>Batentes e pinos de trava</t>
        </is>
      </c>
      <c r="C22" s="5" t="inlineStr">
        <is>
          <t>4 batentes + 2 pinos</t>
        </is>
      </c>
      <c r="D22" s="5" t="inlineStr">
        <is>
          <t>kit</t>
        </is>
      </c>
      <c r="E22" s="6" t="n">
        <v>1</v>
      </c>
      <c r="F22" s="7" t="n">
        <v>250</v>
      </c>
      <c r="G22" s="7" t="n">
        <v>480</v>
      </c>
      <c r="H22" s="7" t="n">
        <v>900</v>
      </c>
      <c r="I22" s="8" t="n"/>
      <c r="J22" s="7">
        <f>IF(I22="",E22*G22,E22*I22)</f>
        <v/>
      </c>
      <c r="K22" s="5" t="n"/>
      <c r="L22" s="5" t="n"/>
    </row>
    <row r="23">
      <c r="A23" s="5" t="inlineStr">
        <is>
          <t>D. Acionamento</t>
        </is>
      </c>
      <c r="B23" s="5" t="inlineStr">
        <is>
          <t>Cabeamento e quadro IP66</t>
        </is>
      </c>
      <c r="C23" s="5" t="inlineStr">
        <is>
          <t>24 V, disjuntor, fonte</t>
        </is>
      </c>
      <c r="D23" s="5" t="inlineStr">
        <is>
          <t>kit</t>
        </is>
      </c>
      <c r="E23" s="6" t="n">
        <v>1</v>
      </c>
      <c r="F23" s="7" t="n">
        <v>300</v>
      </c>
      <c r="G23" s="7" t="n">
        <v>550</v>
      </c>
      <c r="H23" s="7" t="n">
        <v>950</v>
      </c>
      <c r="I23" s="8" t="n"/>
      <c r="J23" s="7">
        <f>IF(I23="",E23*G23,E23*I23)</f>
        <v/>
      </c>
      <c r="K23" s="5" t="n"/>
      <c r="L23" s="5" t="n"/>
    </row>
    <row r="24">
      <c r="A24" s="5" t="inlineStr">
        <is>
          <t>E. Tecido e confecção</t>
        </is>
      </c>
      <c r="B24" s="5" t="inlineStr">
        <is>
          <t>Lona acrílica outdoor</t>
        </is>
      </c>
      <c r="C24" s="5" t="inlineStr">
        <is>
          <t>UV 95%, 600 g/m², areia</t>
        </is>
      </c>
      <c r="D24" s="5" t="inlineStr">
        <is>
          <t>m²</t>
        </is>
      </c>
      <c r="E24" s="6" t="n">
        <v>10.78</v>
      </c>
      <c r="F24" s="7" t="n">
        <v>120</v>
      </c>
      <c r="G24" s="7" t="n">
        <v>210</v>
      </c>
      <c r="H24" s="7" t="n">
        <v>380</v>
      </c>
      <c r="I24" s="8" t="n"/>
      <c r="J24" s="7">
        <f>IF(I24="",E24*G24,E24*I24)</f>
        <v/>
      </c>
      <c r="K24" s="5" t="n"/>
      <c r="L24" s="5" t="n"/>
    </row>
    <row r="25">
      <c r="A25" s="5" t="inlineStr">
        <is>
          <t>E. Tecido e confecção</t>
        </is>
      </c>
      <c r="B25" s="5" t="inlineStr">
        <is>
          <t>Cordão keder Ø6</t>
        </is>
      </c>
      <c r="C25" s="5" t="inlineStr">
        <is>
          <t>PVC, costurado na bainha</t>
        </is>
      </c>
      <c r="D25" s="5" t="inlineStr">
        <is>
          <t>m</t>
        </is>
      </c>
      <c r="E25" s="6" t="n">
        <v>14.83</v>
      </c>
      <c r="F25" s="7" t="n">
        <v>6</v>
      </c>
      <c r="G25" s="7" t="n">
        <v>11</v>
      </c>
      <c r="H25" s="7" t="n">
        <v>20</v>
      </c>
      <c r="I25" s="8" t="n"/>
      <c r="J25" s="7">
        <f>IF(I25="",E25*G25,E25*I25)</f>
        <v/>
      </c>
      <c r="K25" s="5" t="n"/>
      <c r="L25" s="5" t="n"/>
    </row>
    <row r="26">
      <c r="A26" s="5" t="inlineStr">
        <is>
          <t>E. Tecido e confecção</t>
        </is>
      </c>
      <c r="B26" s="5" t="inlineStr">
        <is>
          <t>Confecção e costura</t>
        </is>
      </c>
      <c r="C26" s="5" t="inlineStr">
        <is>
          <t>linha PTFE, solda de bordas</t>
        </is>
      </c>
      <c r="D26" s="5" t="inlineStr">
        <is>
          <t>m²</t>
        </is>
      </c>
      <c r="E26" s="6" t="n">
        <v>9.800000000000001</v>
      </c>
      <c r="F26" s="7" t="n">
        <v>65</v>
      </c>
      <c r="G26" s="7" t="n">
        <v>110</v>
      </c>
      <c r="H26" s="7" t="n">
        <v>180</v>
      </c>
      <c r="I26" s="8" t="n"/>
      <c r="J26" s="7">
        <f>IF(I26="",E26*G26,E26*I26)</f>
        <v/>
      </c>
      <c r="K26" s="5" t="n"/>
      <c r="L26" s="5" t="n"/>
    </row>
    <row r="27">
      <c r="A27" s="5" t="inlineStr">
        <is>
          <t>E. Tecido e confecção</t>
        </is>
      </c>
      <c r="B27" s="5" t="inlineStr">
        <is>
          <t>Esticador de rosca inox M8</t>
        </is>
      </c>
      <c r="C27" s="5" t="inlineStr">
        <is>
          <t>curso 40 mm</t>
        </is>
      </c>
      <c r="D27" s="5" t="inlineStr">
        <is>
          <t>un</t>
        </is>
      </c>
      <c r="E27" s="6" t="n">
        <v>10</v>
      </c>
      <c r="F27" s="7" t="n">
        <v>22</v>
      </c>
      <c r="G27" s="7" t="n">
        <v>40</v>
      </c>
      <c r="H27" s="7" t="n">
        <v>70</v>
      </c>
      <c r="I27" s="8" t="n"/>
      <c r="J27" s="7">
        <f>IF(I27="",E27*G27,E27*I27)</f>
        <v/>
      </c>
      <c r="K27" s="5" t="n"/>
      <c r="L27" s="5" t="n"/>
    </row>
    <row r="28">
      <c r="A28" s="5" t="inlineStr">
        <is>
          <t>F. Serviços</t>
        </is>
      </c>
      <c r="B28" s="5" t="inlineStr">
        <is>
          <t>Calandragem dos arcos</t>
        </is>
      </c>
      <c r="C28" s="5" t="inlineStr">
        <is>
          <t>R 2.659, gabarito de piso</t>
        </is>
      </c>
      <c r="D28" s="5" t="inlineStr">
        <is>
          <t>peça</t>
        </is>
      </c>
      <c r="E28" s="6" t="n">
        <v>5</v>
      </c>
      <c r="F28" s="7" t="n">
        <v>45</v>
      </c>
      <c r="G28" s="7" t="n">
        <v>90</v>
      </c>
      <c r="H28" s="7" t="n">
        <v>180</v>
      </c>
      <c r="I28" s="8" t="n"/>
      <c r="J28" s="7">
        <f>IF(I28="",E28*G28,E28*I28)</f>
        <v/>
      </c>
      <c r="K28" s="5" t="n"/>
      <c r="L28" s="5" t="n"/>
    </row>
    <row r="29">
      <c r="A29" s="5" t="inlineStr">
        <is>
          <t>F. Serviços</t>
        </is>
      </c>
      <c r="B29" s="5" t="inlineStr">
        <is>
          <t>Calandragem das longarinas</t>
        </is>
      </c>
      <c r="C29" s="5" t="inlineStr">
        <is>
          <t>raio variável por estação</t>
        </is>
      </c>
      <c r="D29" s="5" t="inlineStr">
        <is>
          <t>peça</t>
        </is>
      </c>
      <c r="E29" s="6" t="n">
        <v>5</v>
      </c>
      <c r="F29" s="7" t="n">
        <v>45</v>
      </c>
      <c r="G29" s="7" t="n">
        <v>90</v>
      </c>
      <c r="H29" s="7" t="n">
        <v>180</v>
      </c>
      <c r="I29" s="8" t="n"/>
      <c r="J29" s="7">
        <f>IF(I29="",E29*G29,E29*I29)</f>
        <v/>
      </c>
      <c r="K29" s="5" t="n"/>
      <c r="L29" s="5" t="n"/>
    </row>
    <row r="30">
      <c r="A30" s="5" t="inlineStr">
        <is>
          <t>F. Serviços</t>
        </is>
      </c>
      <c r="B30" s="5" t="inlineStr">
        <is>
          <t>Corte a laser inox</t>
        </is>
      </c>
      <c r="C30" s="5" t="inlineStr">
        <is>
          <t>cubo-aranha</t>
        </is>
      </c>
      <c r="D30" s="5" t="inlineStr">
        <is>
          <t>peça</t>
        </is>
      </c>
      <c r="E30" s="6" t="n">
        <v>2</v>
      </c>
      <c r="F30" s="7" t="n">
        <v>90</v>
      </c>
      <c r="G30" s="7" t="n">
        <v>180</v>
      </c>
      <c r="H30" s="7" t="n">
        <v>350</v>
      </c>
      <c r="I30" s="8" t="n"/>
      <c r="J30" s="7">
        <f>IF(I30="",E30*G30,E30*I30)</f>
        <v/>
      </c>
      <c r="K30" s="5" t="n"/>
      <c r="L30" s="5" t="n"/>
    </row>
    <row r="31">
      <c r="A31" s="5" t="inlineStr">
        <is>
          <t>F. Serviços</t>
        </is>
      </c>
      <c r="B31" s="5" t="inlineStr">
        <is>
          <t>Usinagem do eixo e chaveta</t>
        </is>
      </c>
      <c r="C31" s="5" t="inlineStr">
        <is>
          <t>torno</t>
        </is>
      </c>
      <c r="D31" s="5" t="inlineStr">
        <is>
          <t>peça</t>
        </is>
      </c>
      <c r="E31" s="6" t="n">
        <v>2</v>
      </c>
      <c r="F31" s="7" t="n">
        <v>120</v>
      </c>
      <c r="G31" s="7" t="n">
        <v>230</v>
      </c>
      <c r="H31" s="7" t="n">
        <v>400</v>
      </c>
      <c r="I31" s="8" t="n"/>
      <c r="J31" s="7">
        <f>IF(I31="",E31*G31,E31*I31)</f>
        <v/>
      </c>
      <c r="K31" s="5" t="n"/>
      <c r="L31" s="5" t="n"/>
    </row>
    <row r="32">
      <c r="A32" s="5" t="inlineStr">
        <is>
          <t>F. Serviços</t>
        </is>
      </c>
      <c r="B32" s="5" t="inlineStr">
        <is>
          <t>Solda TIG alumínio e montagem</t>
        </is>
      </c>
      <c r="C32" s="5" t="inlineStr">
        <is>
          <t>bancada</t>
        </is>
      </c>
      <c r="D32" s="5" t="inlineStr">
        <is>
          <t>h</t>
        </is>
      </c>
      <c r="E32" s="6" t="n">
        <v>40</v>
      </c>
      <c r="F32" s="7" t="n">
        <v>95</v>
      </c>
      <c r="G32" s="7" t="n">
        <v>140</v>
      </c>
      <c r="H32" s="7" t="n">
        <v>210</v>
      </c>
      <c r="I32" s="8" t="n"/>
      <c r="J32" s="7">
        <f>IF(I32="",E32*G32,E32*I32)</f>
        <v/>
      </c>
      <c r="K32" s="5" t="n"/>
      <c r="L32" s="5" t="n"/>
    </row>
    <row r="33">
      <c r="A33" s="5" t="inlineStr">
        <is>
          <t>F. Serviços</t>
        </is>
      </c>
      <c r="B33" s="5" t="inlineStr">
        <is>
          <t>Pintura eletrostática</t>
        </is>
      </c>
      <c r="C33" s="5" t="inlineStr">
        <is>
          <t>dourado areia, pré-tratamento</t>
        </is>
      </c>
      <c r="D33" s="5" t="inlineStr">
        <is>
          <t>m²</t>
        </is>
      </c>
      <c r="E33" s="6" t="n">
        <v>6.87</v>
      </c>
      <c r="F33" s="7" t="n">
        <v>60</v>
      </c>
      <c r="G33" s="7" t="n">
        <v>95</v>
      </c>
      <c r="H33" s="7" t="n">
        <v>150</v>
      </c>
      <c r="I33" s="8" t="n"/>
      <c r="J33" s="7">
        <f>IF(I33="",E33*G33,E33*I33)</f>
        <v/>
      </c>
      <c r="K33" s="5" t="n"/>
      <c r="L33" s="5" t="n"/>
    </row>
    <row r="34">
      <c r="A34" s="5" t="inlineStr">
        <is>
          <t>G. Campo e projeto</t>
        </is>
      </c>
      <c r="B34" s="5" t="inlineStr">
        <is>
          <t>Instalação em campo</t>
        </is>
      </c>
      <c r="C34" s="5" t="inlineStr">
        <is>
          <t>2 pessoas, 2 dias</t>
        </is>
      </c>
      <c r="D34" s="5" t="inlineStr">
        <is>
          <t>verba</t>
        </is>
      </c>
      <c r="E34" s="6" t="n">
        <v>1</v>
      </c>
      <c r="F34" s="7" t="n">
        <v>2200</v>
      </c>
      <c r="G34" s="7" t="n">
        <v>4000</v>
      </c>
      <c r="H34" s="7" t="n">
        <v>7500</v>
      </c>
      <c r="I34" s="8" t="n"/>
      <c r="J34" s="7">
        <f>IF(I34="",E34*G34,E34*I34)</f>
        <v/>
      </c>
      <c r="K34" s="5" t="n"/>
      <c r="L34" s="5" t="n"/>
    </row>
    <row r="35">
      <c r="A35" s="5" t="inlineStr">
        <is>
          <t>G. Campo e projeto</t>
        </is>
      </c>
      <c r="B35" s="5" t="inlineStr">
        <is>
          <t>Projeto estrutural e ART</t>
        </is>
      </c>
      <c r="C35" s="5" t="inlineStr">
        <is>
          <t>engenheiro responsável</t>
        </is>
      </c>
      <c r="D35" s="5" t="inlineStr">
        <is>
          <t>verba</t>
        </is>
      </c>
      <c r="E35" s="6" t="n">
        <v>1</v>
      </c>
      <c r="F35" s="7" t="n">
        <v>1800</v>
      </c>
      <c r="G35" s="7" t="n">
        <v>3200</v>
      </c>
      <c r="H35" s="7" t="n">
        <v>6000</v>
      </c>
      <c r="I35" s="8" t="n"/>
      <c r="J35" s="7">
        <f>IF(I35="",E35*G35,E35*I35)</f>
        <v/>
      </c>
      <c r="K35" s="5" t="n"/>
      <c r="L35" s="5" t="n"/>
    </row>
    <row r="36">
      <c r="B36" s="9" t="inlineStr">
        <is>
          <t>SUBTOTAL · SÓ OS FERROS (A+B+C)</t>
        </is>
      </c>
      <c r="F36" s="10">
        <f>SUMPRODUCT((($A$6:$A$35="A. Estrutura de alumínio")+($A$6:$A$35="B. Eixo, cubos e mancais")+($A$6:$A$35="C. Pedestais e fundação"))*$E$6:$E$35*F$6:F$35)</f>
        <v/>
      </c>
      <c r="G36" s="10">
        <f>SUMPRODUCT((($A$6:$A$35="A. Estrutura de alumínio")+($A$6:$A$35="B. Eixo, cubos e mancais")+($A$6:$A$35="C. Pedestais e fundação"))*$E$6:$E$35*G$6:G$35)</f>
        <v/>
      </c>
      <c r="H36" s="10">
        <f>SUMPRODUCT((($A$6:$A$35="A. Estrutura de alumínio")+($A$6:$A$35="B. Eixo, cubos e mancais")+($A$6:$A$35="C. Pedestais e fundação"))*$E$6:$E$35*H$6:H$35)</f>
        <v/>
      </c>
      <c r="J36" s="10">
        <f>SUMIF($A$6:$A$35,"A. Estrutura de alumínio",$J$6:$J$35)+SUMIF($A$6:$A$35,"B. Eixo, cubos e mancais",$J$6:$J$35)+SUMIF($A$6:$A$35,"C. Pedestais e fundação",$J$6:$J$35)</f>
        <v/>
      </c>
    </row>
    <row r="37">
      <c r="B37" s="9" t="inlineStr">
        <is>
          <t>TOTAL GERAL DO KIT</t>
        </is>
      </c>
      <c r="F37" s="11">
        <f>SUMPRODUCT($E$6:$E$35,F$6:F$35)</f>
        <v/>
      </c>
      <c r="G37" s="11">
        <f>SUMPRODUCT($E$6:$E$35,G$6:G$35)</f>
        <v/>
      </c>
      <c r="H37" s="11">
        <f>SUMPRODUCT($E$6:$E$35,H$6:H$35)</f>
        <v/>
      </c>
      <c r="J37" s="11">
        <f>SUM($J$6:$J$35)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</cols>
  <sheetData>
    <row r="1">
      <c r="A1" s="12" t="inlineStr">
        <is>
          <t>Grandeza</t>
        </is>
      </c>
      <c r="B1" s="12" t="inlineStr">
        <is>
          <t>Valor</t>
        </is>
      </c>
      <c r="C1" s="12" t="inlineStr">
        <is>
          <t>Unidade</t>
        </is>
      </c>
    </row>
    <row r="2">
      <c r="A2" t="inlineStr">
        <is>
          <t>Diâmetro da bolha no deck</t>
        </is>
      </c>
      <c r="B2" t="n">
        <v>5000</v>
      </c>
      <c r="C2" t="inlineStr">
        <is>
          <t>mm</t>
        </is>
      </c>
    </row>
    <row r="3">
      <c r="A3" t="inlineStr">
        <is>
          <t>Altura da bolha</t>
        </is>
      </c>
      <c r="B3" t="n">
        <v>2292</v>
      </c>
      <c r="C3" t="inlineStr">
        <is>
          <t>mm</t>
        </is>
      </c>
    </row>
    <row r="4">
      <c r="A4" t="inlineStr">
        <is>
          <t>Raio da esfera (derivado)</t>
        </is>
      </c>
      <c r="B4" t="n">
        <v>2509.4</v>
      </c>
      <c r="C4" t="inlineStr">
        <is>
          <t>mm</t>
        </is>
      </c>
    </row>
    <row r="5">
      <c r="A5" t="inlineStr">
        <is>
          <t>Centro da esfera / eixo do pivô</t>
        </is>
      </c>
      <c r="B5" t="n">
        <v>-217.4</v>
      </c>
      <c r="C5" t="inlineStr">
        <is>
          <t>mm</t>
        </is>
      </c>
    </row>
    <row r="6">
      <c r="A6" t="inlineStr">
        <is>
          <t>Raio da casca</t>
        </is>
      </c>
      <c r="B6" t="n">
        <v>2659.4</v>
      </c>
      <c r="C6" t="inlineStr">
        <is>
          <t>mm</t>
        </is>
      </c>
    </row>
    <row r="7">
      <c r="A7" t="inlineStr">
        <is>
          <t>Folga radial constante</t>
        </is>
      </c>
      <c r="B7" t="n">
        <v>150</v>
      </c>
      <c r="C7" t="inlineStr">
        <is>
          <t>mm</t>
        </is>
      </c>
    </row>
    <row r="8">
      <c r="A8" t="inlineStr">
        <is>
          <t>Vão entre pivôs</t>
        </is>
      </c>
      <c r="B8" t="n">
        <v>5319</v>
      </c>
      <c r="C8" t="inlineStr">
        <is>
          <t>mm</t>
        </is>
      </c>
    </row>
    <row r="9">
      <c r="A9" t="inlineStr">
        <is>
          <t>Faixa coberta</t>
        </is>
      </c>
      <c r="B9" t="inlineStr">
        <is>
          <t>45° a 89°</t>
        </is>
      </c>
      <c r="C9" t="inlineStr">
        <is>
          <t>graus</t>
        </is>
      </c>
    </row>
    <row r="10">
      <c r="A10" t="inlineStr">
        <is>
          <t>Curso homologado</t>
        </is>
      </c>
      <c r="B10" t="n">
        <v>90.5</v>
      </c>
      <c r="C10" t="inlineStr">
        <is>
          <t>graus</t>
        </is>
      </c>
    </row>
    <row r="11">
      <c r="A11" t="inlineStr">
        <is>
          <t>Comprimento de cada arco</t>
        </is>
      </c>
      <c r="B11" t="n">
        <v>7798</v>
      </c>
      <c r="C11" t="inlineStr">
        <is>
          <t>mm</t>
        </is>
      </c>
    </row>
    <row r="12">
      <c r="A12" t="inlineStr">
        <is>
          <t>Comprimento total de longarina</t>
        </is>
      </c>
      <c r="B12" t="n">
        <v>7447</v>
      </c>
      <c r="C12" t="inlineStr">
        <is>
          <t>mm</t>
        </is>
      </c>
    </row>
    <row r="13">
      <c r="A13" t="inlineStr">
        <is>
          <t>Barras de 6 m · arcos</t>
        </is>
      </c>
      <c r="B13" t="n">
        <v>7</v>
      </c>
      <c r="C13" t="inlineStr">
        <is>
          <t>un</t>
        </is>
      </c>
    </row>
    <row r="14">
      <c r="A14" t="inlineStr">
        <is>
          <t>Barras de 6 m · longarinas</t>
        </is>
      </c>
      <c r="B14" t="n">
        <v>2</v>
      </c>
      <c r="C14" t="inlineStr">
        <is>
          <t>un</t>
        </is>
      </c>
    </row>
    <row r="15">
      <c r="A15" t="inlineStr">
        <is>
          <t>Massa de alumínio</t>
        </is>
      </c>
      <c r="B15" t="n">
        <v>48.4</v>
      </c>
      <c r="C15" t="inlineStr">
        <is>
          <t>kg</t>
        </is>
      </c>
    </row>
    <row r="16">
      <c r="A16" t="inlineStr">
        <is>
          <t>Massa de inox</t>
        </is>
      </c>
      <c r="B16" t="n">
        <v>19.4</v>
      </c>
      <c r="C16" t="inlineStr">
        <is>
          <t>kg</t>
        </is>
      </c>
    </row>
    <row r="17">
      <c r="A17" t="inlineStr">
        <is>
          <t>Massa de aço galvanizado</t>
        </is>
      </c>
      <c r="B17" t="n">
        <v>27.3</v>
      </c>
      <c r="C17" t="inlineStr">
        <is>
          <t>kg</t>
        </is>
      </c>
    </row>
    <row r="18">
      <c r="A18" t="inlineStr">
        <is>
          <t>Área de tecido</t>
        </is>
      </c>
      <c r="B18" t="n">
        <v>9.800000000000001</v>
      </c>
      <c r="C18" t="inlineStr">
        <is>
          <t>m²</t>
        </is>
      </c>
    </row>
    <row r="19">
      <c r="A19" t="inlineStr">
        <is>
          <t>Perímetro do pano</t>
        </is>
      </c>
      <c r="B19" t="n">
        <v>13732</v>
      </c>
      <c r="C19" t="inlineStr">
        <is>
          <t>mm</t>
        </is>
      </c>
    </row>
    <row r="20">
      <c r="A20" t="inlineStr">
        <is>
          <t>Área de pintura</t>
        </is>
      </c>
      <c r="B20" t="n">
        <v>6.87</v>
      </c>
      <c r="C20" t="inlineStr">
        <is>
          <t>m²</t>
        </is>
      </c>
    </row>
    <row r="21">
      <c r="A21" t="inlineStr">
        <is>
          <t>Flecha do pano entre arcos</t>
        </is>
      </c>
      <c r="B21" t="n">
        <v>12</v>
      </c>
      <c r="C21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2026-08-15T06:08:57Z</dcterms:created>
  <dcterms:modified xsi:type="dcterms:W3CDTF">2026-08-15T06:08:57Z</dcterms:modified>
</cp:coreProperties>
</file>